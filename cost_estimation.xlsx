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_Financière_FCFA" sheetId="1" state="visible" r:id="rId1"/>
    <sheet xmlns:r="http://schemas.openxmlformats.org/officeDocument/2006/relationships" name="Scenario_100_Users" sheetId="2" state="visible" r:id="rId2"/>
    <sheet xmlns:r="http://schemas.openxmlformats.org/officeDocument/2006/relationships" name="Scenario_1000_Users" sheetId="3" state="visible" r:id="rId3"/>
    <sheet xmlns:r="http://schemas.openxmlformats.org/officeDocument/2006/relationships" name="Scenario_10000_Users" sheetId="4" state="visible" r:id="rId4"/>
    <sheet xmlns:r="http://schemas.openxmlformats.org/officeDocument/2006/relationships" name="Scenario_100000_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FCFA&quot;"/>
    <numFmt numFmtId="165" formatCode="#,##0.0 &quot;FCFA&quot;"/>
    <numFmt numFmtId="166" formatCode="#,##0.00 &quot;FCFA&quot;"/>
    <numFmt numFmtId="167" formatCode="0.0%"/>
    <numFmt numFmtId="168" formatCode="0.0000 &quot;FCFA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3A8A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E3A8A"/>
      <sz val="12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0" fontId="5" fillId="6" borderId="0" applyAlignment="1" pivotButton="0" quotePrefix="0" xfId="0">
      <alignment horizontal="left" vertical="center" indent="1"/>
    </xf>
    <xf numFmtId="0" fontId="6" fillId="0" borderId="1" pivotButton="0" quotePrefix="0" xfId="0"/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1" pivotButton="0" quotePrefix="0" xfId="0"/>
    <xf numFmtId="164" fontId="6" fillId="0" borderId="1" applyAlignment="1" pivotButton="0" quotePrefix="0" xfId="0">
      <alignment horizontal="right"/>
    </xf>
    <xf numFmtId="164" fontId="0" fillId="4" borderId="1" pivotButton="0" quotePrefix="0" xfId="0"/>
    <xf numFmtId="164" fontId="6" fillId="4" borderId="1" applyAlignment="1" pivotButton="0" quotePrefix="0" xfId="0">
      <alignment horizontal="right"/>
    </xf>
    <xf numFmtId="168" fontId="0" fillId="4" borderId="1" pivotButton="0" quotePrefix="0" xfId="0"/>
    <xf numFmtId="168" fontId="0" fillId="0" borderId="1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26" customWidth="1" min="3" max="3"/>
    <col width="28" customWidth="1" min="4" max="4"/>
    <col width="29" customWidth="1" min="5" max="5"/>
    <col width="30" customWidth="1" min="6" max="6"/>
    <col width="21" customWidth="1" min="7" max="7"/>
  </cols>
  <sheetData>
    <row r="1">
      <c r="A1" s="1" t="inlineStr">
        <is>
          <t>GRAPHEIN AI — MODÉLISATION FINANCIÈRE &amp; FINOPS EN FCFA (CONTEXTE IVOIRIEN &amp; UEMOA)</t>
        </is>
      </c>
    </row>
    <row r="2"/>
    <row r="3"/>
    <row r="4" ht="28" customHeight="1">
      <c r="A4" s="2" t="inlineStr">
        <is>
          <t>Poste de Coût / Infrastructure</t>
        </is>
      </c>
      <c r="B4" s="2" t="inlineStr">
        <is>
          <t>Hypothèses Techniques &amp; Fournisseur</t>
        </is>
      </c>
      <c r="C4" s="2" t="inlineStr">
        <is>
          <t>Scénario 1 (100 Users)</t>
        </is>
      </c>
      <c r="D4" s="2" t="inlineStr">
        <is>
          <t>Scénario 2 (1 000 Users)</t>
        </is>
      </c>
      <c r="E4" s="2" t="inlineStr">
        <is>
          <t>Scénario 3 (10 000 Users)</t>
        </is>
      </c>
      <c r="F4" s="2" t="inlineStr">
        <is>
          <t>Scénario 4 (100 000 Users)</t>
        </is>
      </c>
      <c r="G4" s="2" t="inlineStr">
        <is>
          <t>Type de Coût</t>
        </is>
      </c>
    </row>
    <row r="5">
      <c r="A5" s="3" t="inlineStr">
        <is>
          <t>Serveurs API / Workers ASGI</t>
        </is>
      </c>
      <c r="B5" s="3" t="inlineStr">
        <is>
          <t>Hetzner Cloud / AWS EKS K8s autoscale</t>
        </is>
      </c>
      <c r="C5" s="4" t="n">
        <v>16399</v>
      </c>
      <c r="D5" s="4" t="n">
        <v>78715</v>
      </c>
      <c r="E5" s="4" t="n">
        <v>557563</v>
      </c>
      <c r="F5" s="4" t="n">
        <v>3148594</v>
      </c>
      <c r="G5" s="3" t="inlineStr">
        <is>
          <t>Fixe / Échelonné</t>
        </is>
      </c>
    </row>
    <row r="6">
      <c r="A6" s="5" t="inlineStr">
        <is>
          <t>Base de Données PostgreSQL</t>
        </is>
      </c>
      <c r="B6" s="5" t="inlineStr">
        <is>
          <t>Supabase Pro HA / AWS RDS Multi-AZ</t>
        </is>
      </c>
      <c r="C6" s="6" t="n">
        <v>16399</v>
      </c>
      <c r="D6" s="6" t="n">
        <v>39357</v>
      </c>
      <c r="E6" s="6" t="n">
        <v>229585</v>
      </c>
      <c r="F6" s="6" t="n">
        <v>1246318</v>
      </c>
      <c r="G6" s="5" t="inlineStr">
        <is>
          <t>Fixe / Échelonné</t>
        </is>
      </c>
    </row>
    <row r="7">
      <c r="A7" s="3" t="inlineStr">
        <is>
          <t>Stockage Objets (Images &amp; PDF)</t>
        </is>
      </c>
      <c r="B7" s="3" t="inlineStr">
        <is>
          <t>Cloudflare R2 / S3 standard (0€ egress)</t>
        </is>
      </c>
      <c r="C7" s="4" t="n">
        <v>3280</v>
      </c>
      <c r="D7" s="4" t="n">
        <v>9839</v>
      </c>
      <c r="E7" s="4" t="n">
        <v>78715</v>
      </c>
      <c r="F7" s="4" t="n">
        <v>623159</v>
      </c>
      <c r="G7" s="3" t="inlineStr">
        <is>
          <t>Variable (Go)</t>
        </is>
      </c>
    </row>
    <row r="8">
      <c r="A8" s="5" t="inlineStr">
        <is>
          <t>Réseau, CDN &amp; WAF Sécurité</t>
        </is>
      </c>
      <c r="B8" s="5" t="inlineStr">
        <is>
          <t>Cloudflare Pro / Enterprise DDoS + SSL</t>
        </is>
      </c>
      <c r="C8" s="6" t="n">
        <v>13119</v>
      </c>
      <c r="D8" s="6" t="n">
        <v>13119</v>
      </c>
      <c r="E8" s="6" t="n">
        <v>131191</v>
      </c>
      <c r="F8" s="6" t="n">
        <v>983936</v>
      </c>
      <c r="G8" s="5" t="inlineStr">
        <is>
          <t>Fixe / Échelonné</t>
        </is>
      </c>
    </row>
    <row r="9">
      <c r="A9" s="3" t="inlineStr">
        <is>
          <t>Redis &amp; File de Tâches Celery</t>
        </is>
      </c>
      <c r="B9" s="3" t="inlineStr">
        <is>
          <t>Redis Enterprise / Upstash HA Cluster</t>
        </is>
      </c>
      <c r="C9" s="4" t="n">
        <v>6560</v>
      </c>
      <c r="D9" s="4" t="n">
        <v>22958</v>
      </c>
      <c r="E9" s="4" t="n">
        <v>118072</v>
      </c>
      <c r="F9" s="4" t="n">
        <v>557563</v>
      </c>
      <c r="G9" s="3" t="inlineStr">
        <is>
          <t>Fixe / Échelonné</t>
        </is>
      </c>
    </row>
    <row r="10">
      <c r="A10" s="5" t="inlineStr">
        <is>
          <t>API LLM/VLM Gemini Flash</t>
        </is>
      </c>
      <c r="B10" s="5" t="inlineStr">
        <is>
          <t>Google GenAI (0.075$/M in, 0.30$/M out)</t>
        </is>
      </c>
      <c r="C10" s="6" t="n">
        <v>12299</v>
      </c>
      <c r="D10" s="6" t="n">
        <v>122992</v>
      </c>
      <c r="E10" s="6" t="n">
        <v>1229919</v>
      </c>
      <c r="F10" s="6" t="n">
        <v>12299194</v>
      </c>
      <c r="G10" s="5" t="inlineStr">
        <is>
          <t>Variable (Tokens)</t>
        </is>
      </c>
    </row>
    <row r="11">
      <c r="A11" s="3" t="inlineStr">
        <is>
          <t>Embeddings &amp; FAISS Compute</t>
        </is>
      </c>
      <c r="B11" s="3" t="inlineStr">
        <is>
          <t>CPU Vector Search / all-MiniLM local</t>
        </is>
      </c>
      <c r="C11" s="4" t="n">
        <v>0</v>
      </c>
      <c r="D11" s="4" t="n">
        <v>9839</v>
      </c>
      <c r="E11" s="4" t="n">
        <v>52477</v>
      </c>
      <c r="F11" s="4" t="n">
        <v>295181</v>
      </c>
      <c r="G11" s="3" t="inlineStr">
        <is>
          <t>Fixe / Échelonné</t>
        </is>
      </c>
    </row>
    <row r="12">
      <c r="A12" s="5" t="inlineStr">
        <is>
          <t>Emails Transactionnels</t>
        </is>
      </c>
      <c r="B12" s="5" t="inlineStr">
        <is>
          <t>Resend Transactional API (0.80$/1k mails)</t>
        </is>
      </c>
      <c r="C12" s="6" t="n">
        <v>3280</v>
      </c>
      <c r="D12" s="6" t="n">
        <v>13119</v>
      </c>
      <c r="E12" s="6" t="n">
        <v>98394</v>
      </c>
      <c r="F12" s="6" t="n">
        <v>590361</v>
      </c>
      <c r="G12" s="5" t="inlineStr">
        <is>
          <t>Variable (Volume)</t>
        </is>
      </c>
    </row>
    <row r="13">
      <c r="A13" s="3" t="inlineStr">
        <is>
          <t>Monitoring, SRE &amp; Logs</t>
        </is>
      </c>
      <c r="B13" s="3" t="inlineStr">
        <is>
          <t>Sentry Pro + Datadog / Grafana Cloud</t>
        </is>
      </c>
      <c r="C13" s="4" t="n">
        <v>9839</v>
      </c>
      <c r="D13" s="4" t="n">
        <v>29518</v>
      </c>
      <c r="E13" s="4" t="n">
        <v>163989</v>
      </c>
      <c r="F13" s="4" t="n">
        <v>787148</v>
      </c>
      <c r="G13" s="3" t="inlineStr">
        <is>
          <t>Fixe / Échelonné</t>
        </is>
      </c>
    </row>
    <row r="14">
      <c r="A14" s="5" t="inlineStr">
        <is>
          <t>Sauvegardes &amp; Disaster Recovery</t>
        </is>
      </c>
      <c r="B14" s="5" t="inlineStr">
        <is>
          <t>Snapshots quotidiens + PITR 90 jours</t>
        </is>
      </c>
      <c r="C14" s="6" t="n">
        <v>3280</v>
      </c>
      <c r="D14" s="6" t="n">
        <v>9839</v>
      </c>
      <c r="E14" s="6" t="n">
        <v>52477</v>
      </c>
      <c r="F14" s="6" t="n">
        <v>262383</v>
      </c>
      <c r="G14" s="5" t="inlineStr">
        <is>
          <t>Fixe / Échelonné</t>
        </is>
      </c>
    </row>
    <row r="15">
      <c r="A15" s="3" t="inlineStr">
        <is>
          <t>CI/CD Pipeline &amp; Registres Docker</t>
        </is>
      </c>
      <c r="B15" s="3" t="inlineStr">
        <is>
          <t>GitHub Actions + Docker Hub Pro / ECR</t>
        </is>
      </c>
      <c r="C15" s="4" t="n">
        <v>0</v>
      </c>
      <c r="D15" s="4" t="n">
        <v>7871</v>
      </c>
      <c r="E15" s="4" t="n">
        <v>39357</v>
      </c>
      <c r="F15" s="4" t="n">
        <v>163989</v>
      </c>
      <c r="G15" s="3" t="inlineStr">
        <is>
          <t>Fixe</t>
        </is>
      </c>
    </row>
    <row r="16">
      <c r="A16" s="5" t="inlineStr">
        <is>
          <t>Noms de domaine &amp; Certificats SSL</t>
        </is>
      </c>
      <c r="B16" s="5" t="inlineStr">
        <is>
          <t>Registrar DNS Anycast + Certs Wildcard</t>
        </is>
      </c>
      <c r="C16" s="6" t="n">
        <v>1640</v>
      </c>
      <c r="D16" s="6" t="n">
        <v>1640</v>
      </c>
      <c r="E16" s="6" t="n">
        <v>6560</v>
      </c>
      <c r="F16" s="6" t="n">
        <v>16399</v>
      </c>
      <c r="G16" s="5" t="inlineStr">
        <is>
          <t>Fixe</t>
        </is>
      </c>
    </row>
    <row r="17">
      <c r="A17" s="3" t="inlineStr">
        <is>
          <t>GPU Inférence Dédiée (Optionnel)</t>
        </is>
      </c>
      <c r="B17" s="3" t="inlineStr">
        <is>
          <t>1x L4 / A10G (Embeddings/OCR Scale)</t>
        </is>
      </c>
      <c r="C17" s="4" t="n">
        <v>0</v>
      </c>
      <c r="D17" s="4" t="n">
        <v>0</v>
      </c>
      <c r="E17" s="4" t="n">
        <v>209906</v>
      </c>
      <c r="F17" s="4" t="n">
        <v>839625</v>
      </c>
      <c r="G17" s="3" t="inlineStr">
        <is>
          <t>Optionnel</t>
        </is>
      </c>
    </row>
    <row r="18" ht="24" customHeight="1">
      <c r="A18" s="7" t="inlineStr">
        <is>
          <t>COÛT TOTAL MENSUEL D'INFRASTRUCTURE</t>
        </is>
      </c>
      <c r="B18" s="7" t="inlineStr">
        <is>
          <t>Total Mensuel en Franc CFA (XOF)</t>
        </is>
      </c>
      <c r="C18" s="8">
        <f>SUM(C5:C17)</f>
        <v/>
      </c>
      <c r="D18" s="8">
        <f>SUM(D5:D17)</f>
        <v/>
      </c>
      <c r="E18" s="8">
        <f>SUM(E5:E17)</f>
        <v/>
      </c>
      <c r="F18" s="8">
        <f>SUM(F5:F17)</f>
        <v/>
      </c>
      <c r="G18" s="7" t="inlineStr">
        <is>
          <t>Consolidé FCFA</t>
        </is>
      </c>
    </row>
    <row r="19"/>
    <row r="20" ht="24" customHeight="1">
      <c r="A20" s="9" t="inlineStr">
        <is>
          <t>MÉTRIQUES DE RENTABILITÉ &amp; UNIT ECONOMICS (MARCHÉ IVOIRIEN / UEMOA)</t>
        </is>
      </c>
    </row>
    <row r="21">
      <c r="A21" s="10" t="inlineStr">
        <is>
          <t>Volume de requêtes mensuelles estimées</t>
        </is>
      </c>
      <c r="B21" s="3" t="inlineStr">
        <is>
          <t>Hypothèse : 50 requêtes/user/mois</t>
        </is>
      </c>
      <c r="C21" s="11" t="n">
        <v>5000</v>
      </c>
      <c r="D21" s="11" t="n">
        <v>50000</v>
      </c>
      <c r="E21" s="11" t="n">
        <v>500000</v>
      </c>
      <c r="F21" s="11" t="n">
        <v>5000000</v>
      </c>
      <c r="G21" s="3" t="inlineStr">
        <is>
          <t>SaaS KPI FCFA</t>
        </is>
      </c>
    </row>
    <row r="22">
      <c r="A22" s="10" t="inlineStr">
        <is>
          <t>Chiffre d'Affaires Mensuel Estimé (FCFA)</t>
        </is>
      </c>
      <c r="B22" s="3" t="inlineStr">
        <is>
          <t>Mix 70% Free / 20% Pro (19k FCFA) / 10% Team (65k FCFA)</t>
        </is>
      </c>
      <c r="C22" s="12" t="n">
        <v>1685000</v>
      </c>
      <c r="D22" s="12" t="n">
        <v>16850000</v>
      </c>
      <c r="E22" s="12" t="n">
        <v>168500000</v>
      </c>
      <c r="F22" s="12" t="n">
        <v>1685000000</v>
      </c>
      <c r="G22" s="3" t="inlineStr">
        <is>
          <t>SaaS KPI FCFA</t>
        </is>
      </c>
    </row>
    <row r="23">
      <c r="A23" s="10" t="inlineStr">
        <is>
          <t>Coût Moyen d'Infrastructure par Utilisateur Actif</t>
        </is>
      </c>
      <c r="B23" s="3" t="inlineStr">
        <is>
          <t>Coût Total Infra / Nb Utilisateurs</t>
        </is>
      </c>
      <c r="C23" s="13">
        <f>C18/100</f>
        <v/>
      </c>
      <c r="D23" s="13">
        <f>D18/1000</f>
        <v/>
      </c>
      <c r="E23" s="13">
        <f>E18/10000</f>
        <v/>
      </c>
      <c r="F23" s="13">
        <f>F18/100000</f>
        <v/>
      </c>
      <c r="G23" s="3" t="inlineStr">
        <is>
          <t>SaaS KPI FCFA</t>
        </is>
      </c>
    </row>
    <row r="24">
      <c r="A24" s="10" t="inlineStr">
        <is>
          <t>Coût Moyen par Requête Graphique Multimodale</t>
        </is>
      </c>
      <c r="B24" s="3" t="inlineStr">
        <is>
          <t>Coût Total Infra / Volume Requêtes</t>
        </is>
      </c>
      <c r="C24" s="14">
        <f>C18/C21</f>
        <v/>
      </c>
      <c r="D24" s="14">
        <f>D18/D21</f>
        <v/>
      </c>
      <c r="E24" s="14">
        <f>E18/E21</f>
        <v/>
      </c>
      <c r="F24" s="14">
        <f>F18/F21</f>
        <v/>
      </c>
      <c r="G24" s="3" t="inlineStr">
        <is>
          <t>SaaS KPI FCFA</t>
        </is>
      </c>
    </row>
    <row r="25">
      <c r="A25" s="10" t="inlineStr">
        <is>
          <t>Marge Brute d'Infrastructure (%)</t>
        </is>
      </c>
      <c r="B25" s="3" t="inlineStr">
        <is>
          <t>(CA Mensuel - Coût Total Infra) / CA Mensuel</t>
        </is>
      </c>
      <c r="C25" s="15">
        <f>(C22-C18)/C22</f>
        <v/>
      </c>
      <c r="D25" s="15">
        <f>(D22-D18)/D22</f>
        <v/>
      </c>
      <c r="E25" s="15">
        <f>(E22-E18)/E22</f>
        <v/>
      </c>
      <c r="F25" s="15">
        <f>(F22-F18)/F22</f>
        <v/>
      </c>
      <c r="G25" s="3" t="inlineStr">
        <is>
          <t>SaaS KPI FCFA</t>
        </is>
      </c>
    </row>
  </sheetData>
  <mergeCells count="2">
    <mergeCell ref="A20:G20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7" customWidth="1" min="3" max="3"/>
    <col width="24" customWidth="1" min="4" max="4"/>
    <col width="24" customWidth="1" min="5" max="5"/>
  </cols>
  <sheetData>
    <row r="1">
      <c r="A1" s="16" t="inlineStr">
        <is>
          <t>DÉCOMPOSITION EN FCFA : 100 UTILISATEURS ACTIFS (5,000 REQUÊTES/MOIS)</t>
        </is>
      </c>
    </row>
    <row r="2"/>
    <row r="3"/>
    <row r="4">
      <c r="A4" s="17" t="inlineStr">
        <is>
          <t>Ressource / Composant</t>
        </is>
      </c>
      <c r="B4" s="17" t="inlineStr">
        <is>
          <t>Spécifications &amp; Dimensionnement</t>
        </is>
      </c>
      <c r="C4" s="17" t="inlineStr">
        <is>
          <t>Quantité</t>
        </is>
      </c>
      <c r="D4" s="17" t="inlineStr">
        <is>
          <t>Coût Unitaire (FCFA)</t>
        </is>
      </c>
      <c r="E4" s="17" t="inlineStr">
        <is>
          <t>Total Mensuel (FCFA)</t>
        </is>
      </c>
    </row>
    <row r="5">
      <c r="A5" s="3" t="inlineStr">
        <is>
          <t>Serveurs Applicatifs FastAPI</t>
        </is>
      </c>
      <c r="B5" s="3" t="inlineStr">
        <is>
          <t>Instances Cloud 4 vCPU / 8 Go RAM (x1)</t>
        </is>
      </c>
      <c r="C5" s="3" t="inlineStr">
        <is>
          <t>1</t>
        </is>
      </c>
      <c r="D5" s="18" t="n">
        <v>16399</v>
      </c>
      <c r="E5" s="19" t="n">
        <v>16399</v>
      </c>
    </row>
    <row r="6">
      <c r="A6" s="5" t="inlineStr">
        <is>
          <t>Base PostgreSQL Supabase HA</t>
        </is>
      </c>
      <c r="B6" s="5" t="inlineStr">
        <is>
          <t>Compute dédié + IOPS managés + Réplication</t>
        </is>
      </c>
      <c r="C6" s="5" t="inlineStr">
        <is>
          <t>1</t>
        </is>
      </c>
      <c r="D6" s="20" t="n">
        <v>16399</v>
      </c>
      <c r="E6" s="21" t="n">
        <v>16399</v>
      </c>
    </row>
    <row r="7">
      <c r="A7" s="3" t="inlineStr">
        <is>
          <t>Cloudflare R2 Object Storage</t>
        </is>
      </c>
      <c r="B7" s="3" t="inlineStr">
        <is>
          <t>Stockage images graphiques &amp; caches PDF (20.0 Go)</t>
        </is>
      </c>
      <c r="C7" s="3" t="inlineStr">
        <is>
          <t>20 Go</t>
        </is>
      </c>
      <c r="D7" s="18" t="n">
        <v>10</v>
      </c>
      <c r="E7" s="19" t="n">
        <v>3280</v>
      </c>
    </row>
    <row r="8">
      <c r="A8" s="5" t="inlineStr">
        <is>
          <t>Cloudflare WAF / Enterprise CDN</t>
        </is>
      </c>
      <c r="B8" s="5" t="inlineStr">
        <is>
          <t>Protection anti-DDoS, Edge caching, SSL</t>
        </is>
      </c>
      <c r="C8" s="5" t="inlineStr">
        <is>
          <t>1</t>
        </is>
      </c>
      <c r="D8" s="20" t="n">
        <v>13119</v>
      </c>
      <c r="E8" s="21" t="n">
        <v>13119</v>
      </c>
    </row>
    <row r="9">
      <c r="A9" s="3" t="inlineStr">
        <is>
          <t>Redis Enterprise Cluster</t>
        </is>
      </c>
      <c r="B9" s="3" t="inlineStr">
        <is>
          <t>Queue Celery Broker + Cache extraction SHA-256</t>
        </is>
      </c>
      <c r="C9" s="3" t="inlineStr">
        <is>
          <t>1</t>
        </is>
      </c>
      <c r="D9" s="18" t="n">
        <v>6560</v>
      </c>
      <c r="E9" s="19" t="n">
        <v>6560</v>
      </c>
    </row>
    <row r="10">
      <c r="A10" s="5" t="inlineStr">
        <is>
          <t>Google Gemini 2.5 Flash API</t>
        </is>
      </c>
      <c r="B10" s="5" t="inlineStr">
        <is>
          <t>Tokens VLM (5,000 requêtes x 1000 tokens)</t>
        </is>
      </c>
      <c r="C10" s="5" t="inlineStr">
        <is>
          <t>5,000,000 Tok</t>
        </is>
      </c>
      <c r="D10" s="22" t="n">
        <v>0.00246</v>
      </c>
      <c r="E10" s="21" t="n">
        <v>12299</v>
      </c>
    </row>
    <row r="11">
      <c r="A11" s="3" t="inlineStr">
        <is>
          <t>FAISS Vector Index Storage</t>
        </is>
      </c>
      <c r="B11" s="3" t="inlineStr">
        <is>
          <t>Mémoire vive &amp; SSD NVMe pour embeddings</t>
        </is>
      </c>
      <c r="C11" s="3" t="inlineStr">
        <is>
          <t>1</t>
        </is>
      </c>
      <c r="D11" s="23" t="n">
        <v>0</v>
      </c>
      <c r="E11" s="19" t="n">
        <v>0</v>
      </c>
    </row>
    <row r="12">
      <c r="A12" s="5" t="inlineStr">
        <is>
          <t>Emails Resend Transactionnels</t>
        </is>
      </c>
      <c r="B12" s="5" t="inlineStr">
        <is>
          <t>Emails d'invitations &amp; auth (200 envois)</t>
        </is>
      </c>
      <c r="C12" s="5" t="inlineStr">
        <is>
          <t>200 Mails</t>
        </is>
      </c>
      <c r="D12" s="20" t="n">
        <v>16.4</v>
      </c>
      <c r="E12" s="21" t="n">
        <v>3280</v>
      </c>
    </row>
    <row r="13">
      <c r="A13" s="3" t="inlineStr">
        <is>
          <t>Sentry &amp; Datadog Monitoring</t>
        </is>
      </c>
      <c r="B13" s="3" t="inlineStr">
        <is>
          <t>Télémétrie SRE, logs temps réel &amp; APM</t>
        </is>
      </c>
      <c r="C13" s="3" t="inlineStr">
        <is>
          <t>1</t>
        </is>
      </c>
      <c r="D13" s="18" t="n">
        <v>9839</v>
      </c>
      <c r="E13" s="19" t="n">
        <v>9839</v>
      </c>
    </row>
    <row r="14">
      <c r="A14" s="5" t="inlineStr">
        <is>
          <t>Sauvegardes Froid &amp; Vault</t>
        </is>
      </c>
      <c r="B14" s="5" t="inlineStr">
        <is>
          <t>Snapshots quotidiens multi-régions (90 jours)</t>
        </is>
      </c>
      <c r="C14" s="5" t="inlineStr">
        <is>
          <t>1</t>
        </is>
      </c>
      <c r="D14" s="20" t="n">
        <v>3280</v>
      </c>
      <c r="E14" s="21" t="n">
        <v>3280</v>
      </c>
    </row>
    <row r="15">
      <c r="A15" s="3" t="inlineStr">
        <is>
          <t>CI/CD &amp; Registre Docker</t>
        </is>
      </c>
      <c r="B15" s="3" t="inlineStr">
        <is>
          <t>Runners automatisés &amp; pipelines GitHub</t>
        </is>
      </c>
      <c r="C15" s="3" t="inlineStr">
        <is>
          <t>1</t>
        </is>
      </c>
      <c r="D15" s="23" t="n">
        <v>0</v>
      </c>
      <c r="E15" s="19" t="n">
        <v>0</v>
      </c>
    </row>
    <row r="16">
      <c r="A16" s="5" t="inlineStr">
        <is>
          <t>Domaine &amp; DNS Anycast</t>
        </is>
      </c>
      <c r="B16" s="5" t="inlineStr">
        <is>
          <t>graphein.ai + certificats SSL Wildcard</t>
        </is>
      </c>
      <c r="C16" s="5" t="inlineStr">
        <is>
          <t>1</t>
        </is>
      </c>
      <c r="D16" s="20" t="n">
        <v>1640</v>
      </c>
      <c r="E16" s="21" t="n">
        <v>1640</v>
      </c>
    </row>
    <row r="17">
      <c r="A17" s="3" t="inlineStr">
        <is>
          <t>Cluster GPU Dédié (Optionnel)</t>
        </is>
      </c>
      <c r="B17" s="3" t="inlineStr">
        <is>
          <t>Cartes accélératrices L4 / A10G pour inférence locale</t>
        </is>
      </c>
      <c r="C17" s="3" t="inlineStr">
        <is>
          <t>0</t>
        </is>
      </c>
      <c r="D17" s="23" t="n">
        <v>0</v>
      </c>
      <c r="E17" s="19" t="n">
        <v>0</v>
      </c>
    </row>
    <row r="18">
      <c r="A18" s="7" t="inlineStr">
        <is>
          <t>TOTAL MENSUEL EN FCFA</t>
        </is>
      </c>
      <c r="B18" s="24" t="n"/>
      <c r="C18" s="24" t="n"/>
      <c r="D18" s="24" t="n"/>
      <c r="E18" s="8">
        <f>SUM(E5:E17)</f>
        <v/>
      </c>
    </row>
  </sheetData>
  <mergeCells count="2">
    <mergeCell ref="A18:D18"/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  <col width="24" customWidth="1" min="4" max="4"/>
    <col width="24" customWidth="1" min="5" max="5"/>
  </cols>
  <sheetData>
    <row r="1">
      <c r="A1" s="16" t="inlineStr">
        <is>
          <t>DÉCOMPOSITION EN FCFA : 1,000 UTILISATEURS ACTIFS (50,000 REQUÊTES/MOIS)</t>
        </is>
      </c>
    </row>
    <row r="2"/>
    <row r="3"/>
    <row r="4">
      <c r="A4" s="17" t="inlineStr">
        <is>
          <t>Ressource / Composant</t>
        </is>
      </c>
      <c r="B4" s="17" t="inlineStr">
        <is>
          <t>Spécifications &amp; Dimensionnement</t>
        </is>
      </c>
      <c r="C4" s="17" t="inlineStr">
        <is>
          <t>Quantité</t>
        </is>
      </c>
      <c r="D4" s="17" t="inlineStr">
        <is>
          <t>Coût Unitaire (FCFA)</t>
        </is>
      </c>
      <c r="E4" s="17" t="inlineStr">
        <is>
          <t>Total Mensuel (FCFA)</t>
        </is>
      </c>
    </row>
    <row r="5">
      <c r="A5" s="3" t="inlineStr">
        <is>
          <t>Serveurs Applicatifs FastAPI</t>
        </is>
      </c>
      <c r="B5" s="3" t="inlineStr">
        <is>
          <t>Instances Cloud 4 vCPU / 8 Go RAM (x1)</t>
        </is>
      </c>
      <c r="C5" s="3" t="inlineStr">
        <is>
          <t>1</t>
        </is>
      </c>
      <c r="D5" s="18" t="n">
        <v>78715</v>
      </c>
      <c r="E5" s="19" t="n">
        <v>78715</v>
      </c>
    </row>
    <row r="6">
      <c r="A6" s="5" t="inlineStr">
        <is>
          <t>Base PostgreSQL Supabase HA</t>
        </is>
      </c>
      <c r="B6" s="5" t="inlineStr">
        <is>
          <t>Compute dédié + IOPS managés + Réplication</t>
        </is>
      </c>
      <c r="C6" s="5" t="inlineStr">
        <is>
          <t>1</t>
        </is>
      </c>
      <c r="D6" s="20" t="n">
        <v>39357</v>
      </c>
      <c r="E6" s="21" t="n">
        <v>39357</v>
      </c>
    </row>
    <row r="7">
      <c r="A7" s="3" t="inlineStr">
        <is>
          <t>Cloudflare R2 Object Storage</t>
        </is>
      </c>
      <c r="B7" s="3" t="inlineStr">
        <is>
          <t>Stockage images graphiques &amp; caches PDF (200.0 Go)</t>
        </is>
      </c>
      <c r="C7" s="3" t="inlineStr">
        <is>
          <t>200 Go</t>
        </is>
      </c>
      <c r="D7" s="18" t="n">
        <v>10</v>
      </c>
      <c r="E7" s="19" t="n">
        <v>9839</v>
      </c>
    </row>
    <row r="8">
      <c r="A8" s="5" t="inlineStr">
        <is>
          <t>Cloudflare WAF / Enterprise CDN</t>
        </is>
      </c>
      <c r="B8" s="5" t="inlineStr">
        <is>
          <t>Protection anti-DDoS, Edge caching, SSL</t>
        </is>
      </c>
      <c r="C8" s="5" t="inlineStr">
        <is>
          <t>1</t>
        </is>
      </c>
      <c r="D8" s="20" t="n">
        <v>13119</v>
      </c>
      <c r="E8" s="21" t="n">
        <v>13119</v>
      </c>
    </row>
    <row r="9">
      <c r="A9" s="3" t="inlineStr">
        <is>
          <t>Redis Enterprise Cluster</t>
        </is>
      </c>
      <c r="B9" s="3" t="inlineStr">
        <is>
          <t>Queue Celery Broker + Cache extraction SHA-256</t>
        </is>
      </c>
      <c r="C9" s="3" t="inlineStr">
        <is>
          <t>1</t>
        </is>
      </c>
      <c r="D9" s="18" t="n">
        <v>22958</v>
      </c>
      <c r="E9" s="19" t="n">
        <v>22958</v>
      </c>
    </row>
    <row r="10">
      <c r="A10" s="5" t="inlineStr">
        <is>
          <t>Google Gemini 2.5 Flash API</t>
        </is>
      </c>
      <c r="B10" s="5" t="inlineStr">
        <is>
          <t>Tokens VLM (50,000 requêtes x 1000 tokens)</t>
        </is>
      </c>
      <c r="C10" s="5" t="inlineStr">
        <is>
          <t>50,000,000 Tok</t>
        </is>
      </c>
      <c r="D10" s="22" t="n">
        <v>0.00246</v>
      </c>
      <c r="E10" s="21" t="n">
        <v>122992</v>
      </c>
    </row>
    <row r="11">
      <c r="A11" s="3" t="inlineStr">
        <is>
          <t>FAISS Vector Index Storage</t>
        </is>
      </c>
      <c r="B11" s="3" t="inlineStr">
        <is>
          <t>Mémoire vive &amp; SSD NVMe pour embeddings</t>
        </is>
      </c>
      <c r="C11" s="3" t="inlineStr">
        <is>
          <t>1</t>
        </is>
      </c>
      <c r="D11" s="18" t="n">
        <v>9839</v>
      </c>
      <c r="E11" s="19" t="n">
        <v>9839</v>
      </c>
    </row>
    <row r="12">
      <c r="A12" s="5" t="inlineStr">
        <is>
          <t>Emails Resend Transactionnels</t>
        </is>
      </c>
      <c r="B12" s="5" t="inlineStr">
        <is>
          <t>Emails d'invitations &amp; auth (2,000 envois)</t>
        </is>
      </c>
      <c r="C12" s="5" t="inlineStr">
        <is>
          <t>2,000 Mails</t>
        </is>
      </c>
      <c r="D12" s="20" t="n">
        <v>6.56</v>
      </c>
      <c r="E12" s="21" t="n">
        <v>13119</v>
      </c>
    </row>
    <row r="13">
      <c r="A13" s="3" t="inlineStr">
        <is>
          <t>Sentry &amp; Datadog Monitoring</t>
        </is>
      </c>
      <c r="B13" s="3" t="inlineStr">
        <is>
          <t>Télémétrie SRE, logs temps réel &amp; APM</t>
        </is>
      </c>
      <c r="C13" s="3" t="inlineStr">
        <is>
          <t>1</t>
        </is>
      </c>
      <c r="D13" s="18" t="n">
        <v>29518</v>
      </c>
      <c r="E13" s="19" t="n">
        <v>29518</v>
      </c>
    </row>
    <row r="14">
      <c r="A14" s="5" t="inlineStr">
        <is>
          <t>Sauvegardes Froid &amp; Vault</t>
        </is>
      </c>
      <c r="B14" s="5" t="inlineStr">
        <is>
          <t>Snapshots quotidiens multi-régions (90 jours)</t>
        </is>
      </c>
      <c r="C14" s="5" t="inlineStr">
        <is>
          <t>1</t>
        </is>
      </c>
      <c r="D14" s="20" t="n">
        <v>9839</v>
      </c>
      <c r="E14" s="21" t="n">
        <v>9839</v>
      </c>
    </row>
    <row r="15">
      <c r="A15" s="3" t="inlineStr">
        <is>
          <t>CI/CD &amp; Registre Docker</t>
        </is>
      </c>
      <c r="B15" s="3" t="inlineStr">
        <is>
          <t>Runners automatisés &amp; pipelines GitHub</t>
        </is>
      </c>
      <c r="C15" s="3" t="inlineStr">
        <is>
          <t>1</t>
        </is>
      </c>
      <c r="D15" s="18" t="n">
        <v>7871</v>
      </c>
      <c r="E15" s="19" t="n">
        <v>7871</v>
      </c>
    </row>
    <row r="16">
      <c r="A16" s="5" t="inlineStr">
        <is>
          <t>Domaine &amp; DNS Anycast</t>
        </is>
      </c>
      <c r="B16" s="5" t="inlineStr">
        <is>
          <t>graphein.ai + certificats SSL Wildcard</t>
        </is>
      </c>
      <c r="C16" s="5" t="inlineStr">
        <is>
          <t>1</t>
        </is>
      </c>
      <c r="D16" s="20" t="n">
        <v>1640</v>
      </c>
      <c r="E16" s="21" t="n">
        <v>1640</v>
      </c>
    </row>
    <row r="17">
      <c r="A17" s="3" t="inlineStr">
        <is>
          <t>Cluster GPU Dédié (Optionnel)</t>
        </is>
      </c>
      <c r="B17" s="3" t="inlineStr">
        <is>
          <t>Cartes accélératrices L4 / A10G pour inférence locale</t>
        </is>
      </c>
      <c r="C17" s="3" t="inlineStr">
        <is>
          <t>0</t>
        </is>
      </c>
      <c r="D17" s="23" t="n">
        <v>0</v>
      </c>
      <c r="E17" s="19" t="n">
        <v>0</v>
      </c>
    </row>
    <row r="18">
      <c r="A18" s="7" t="inlineStr">
        <is>
          <t>TOTAL MENSUEL EN FCFA</t>
        </is>
      </c>
      <c r="B18" s="24" t="n"/>
      <c r="C18" s="24" t="n"/>
      <c r="D18" s="24" t="n"/>
      <c r="E18" s="8">
        <f>SUM(E5:E17)</f>
        <v/>
      </c>
    </row>
  </sheetData>
  <mergeCells count="2">
    <mergeCell ref="A18:D18"/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9" customWidth="1" min="3" max="3"/>
    <col width="24" customWidth="1" min="4" max="4"/>
    <col width="24" customWidth="1" min="5" max="5"/>
  </cols>
  <sheetData>
    <row r="1">
      <c r="A1" s="16" t="inlineStr">
        <is>
          <t>DÉCOMPOSITION EN FCFA : 10,000 UTILISATEURS ACTIFS (500,000 REQUÊTES/MOIS)</t>
        </is>
      </c>
    </row>
    <row r="2"/>
    <row r="3"/>
    <row r="4">
      <c r="A4" s="17" t="inlineStr">
        <is>
          <t>Ressource / Composant</t>
        </is>
      </c>
      <c r="B4" s="17" t="inlineStr">
        <is>
          <t>Spécifications &amp; Dimensionnement</t>
        </is>
      </c>
      <c r="C4" s="17" t="inlineStr">
        <is>
          <t>Quantité</t>
        </is>
      </c>
      <c r="D4" s="17" t="inlineStr">
        <is>
          <t>Coût Unitaire (FCFA)</t>
        </is>
      </c>
      <c r="E4" s="17" t="inlineStr">
        <is>
          <t>Total Mensuel (FCFA)</t>
        </is>
      </c>
    </row>
    <row r="5">
      <c r="A5" s="3" t="inlineStr">
        <is>
          <t>Serveurs Applicatifs FastAPI</t>
        </is>
      </c>
      <c r="B5" s="3" t="inlineStr">
        <is>
          <t>Instances Cloud 4 vCPU / 8 Go RAM (x5)</t>
        </is>
      </c>
      <c r="C5" s="3" t="inlineStr">
        <is>
          <t>5</t>
        </is>
      </c>
      <c r="D5" s="18" t="n">
        <v>111513</v>
      </c>
      <c r="E5" s="19" t="n">
        <v>557563</v>
      </c>
    </row>
    <row r="6">
      <c r="A6" s="5" t="inlineStr">
        <is>
          <t>Base PostgreSQL Supabase HA</t>
        </is>
      </c>
      <c r="B6" s="5" t="inlineStr">
        <is>
          <t>Compute dédié + IOPS managés + Réplication</t>
        </is>
      </c>
      <c r="C6" s="5" t="inlineStr">
        <is>
          <t>1</t>
        </is>
      </c>
      <c r="D6" s="20" t="n">
        <v>229585</v>
      </c>
      <c r="E6" s="21" t="n">
        <v>229585</v>
      </c>
    </row>
    <row r="7">
      <c r="A7" s="3" t="inlineStr">
        <is>
          <t>Cloudflare R2 Object Storage</t>
        </is>
      </c>
      <c r="B7" s="3" t="inlineStr">
        <is>
          <t>Stockage images graphiques &amp; caches PDF (2000.0 Go)</t>
        </is>
      </c>
      <c r="C7" s="3" t="inlineStr">
        <is>
          <t>2000 Go</t>
        </is>
      </c>
      <c r="D7" s="18" t="n">
        <v>10</v>
      </c>
      <c r="E7" s="19" t="n">
        <v>78715</v>
      </c>
    </row>
    <row r="8">
      <c r="A8" s="5" t="inlineStr">
        <is>
          <t>Cloudflare WAF / Enterprise CDN</t>
        </is>
      </c>
      <c r="B8" s="5" t="inlineStr">
        <is>
          <t>Protection anti-DDoS, Edge caching, SSL</t>
        </is>
      </c>
      <c r="C8" s="5" t="inlineStr">
        <is>
          <t>1</t>
        </is>
      </c>
      <c r="D8" s="20" t="n">
        <v>131191</v>
      </c>
      <c r="E8" s="21" t="n">
        <v>131191</v>
      </c>
    </row>
    <row r="9">
      <c r="A9" s="3" t="inlineStr">
        <is>
          <t>Redis Enterprise Cluster</t>
        </is>
      </c>
      <c r="B9" s="3" t="inlineStr">
        <is>
          <t>Queue Celery Broker + Cache extraction SHA-256</t>
        </is>
      </c>
      <c r="C9" s="3" t="inlineStr">
        <is>
          <t>1</t>
        </is>
      </c>
      <c r="D9" s="18" t="n">
        <v>118072</v>
      </c>
      <c r="E9" s="19" t="n">
        <v>118072</v>
      </c>
    </row>
    <row r="10">
      <c r="A10" s="5" t="inlineStr">
        <is>
          <t>Google Gemini 2.5 Flash API</t>
        </is>
      </c>
      <c r="B10" s="5" t="inlineStr">
        <is>
          <t>Tokens VLM (500,000 requêtes x 1000 tokens)</t>
        </is>
      </c>
      <c r="C10" s="5" t="inlineStr">
        <is>
          <t>500,000,000 Tok</t>
        </is>
      </c>
      <c r="D10" s="22" t="n">
        <v>0.00246</v>
      </c>
      <c r="E10" s="21" t="n">
        <v>1229919</v>
      </c>
    </row>
    <row r="11">
      <c r="A11" s="3" t="inlineStr">
        <is>
          <t>FAISS Vector Index Storage</t>
        </is>
      </c>
      <c r="B11" s="3" t="inlineStr">
        <is>
          <t>Mémoire vive &amp; SSD NVMe pour embeddings</t>
        </is>
      </c>
      <c r="C11" s="3" t="inlineStr">
        <is>
          <t>1</t>
        </is>
      </c>
      <c r="D11" s="18" t="n">
        <v>52477</v>
      </c>
      <c r="E11" s="19" t="n">
        <v>52477</v>
      </c>
    </row>
    <row r="12">
      <c r="A12" s="5" t="inlineStr">
        <is>
          <t>Emails Resend Transactionnels</t>
        </is>
      </c>
      <c r="B12" s="5" t="inlineStr">
        <is>
          <t>Emails d'invitations &amp; auth (20,000 envois)</t>
        </is>
      </c>
      <c r="C12" s="5" t="inlineStr">
        <is>
          <t>20,000 Mails</t>
        </is>
      </c>
      <c r="D12" s="20" t="n">
        <v>4.92</v>
      </c>
      <c r="E12" s="21" t="n">
        <v>98394</v>
      </c>
    </row>
    <row r="13">
      <c r="A13" s="3" t="inlineStr">
        <is>
          <t>Sentry &amp; Datadog Monitoring</t>
        </is>
      </c>
      <c r="B13" s="3" t="inlineStr">
        <is>
          <t>Télémétrie SRE, logs temps réel &amp; APM</t>
        </is>
      </c>
      <c r="C13" s="3" t="inlineStr">
        <is>
          <t>1</t>
        </is>
      </c>
      <c r="D13" s="18" t="n">
        <v>163989</v>
      </c>
      <c r="E13" s="19" t="n">
        <v>163989</v>
      </c>
    </row>
    <row r="14">
      <c r="A14" s="5" t="inlineStr">
        <is>
          <t>Sauvegardes Froid &amp; Vault</t>
        </is>
      </c>
      <c r="B14" s="5" t="inlineStr">
        <is>
          <t>Snapshots quotidiens multi-régions (90 jours)</t>
        </is>
      </c>
      <c r="C14" s="5" t="inlineStr">
        <is>
          <t>1</t>
        </is>
      </c>
      <c r="D14" s="20" t="n">
        <v>52477</v>
      </c>
      <c r="E14" s="21" t="n">
        <v>52477</v>
      </c>
    </row>
    <row r="15">
      <c r="A15" s="3" t="inlineStr">
        <is>
          <t>CI/CD &amp; Registre Docker</t>
        </is>
      </c>
      <c r="B15" s="3" t="inlineStr">
        <is>
          <t>Runners automatisés &amp; pipelines GitHub</t>
        </is>
      </c>
      <c r="C15" s="3" t="inlineStr">
        <is>
          <t>1</t>
        </is>
      </c>
      <c r="D15" s="18" t="n">
        <v>39357</v>
      </c>
      <c r="E15" s="19" t="n">
        <v>39357</v>
      </c>
    </row>
    <row r="16">
      <c r="A16" s="5" t="inlineStr">
        <is>
          <t>Domaine &amp; DNS Anycast</t>
        </is>
      </c>
      <c r="B16" s="5" t="inlineStr">
        <is>
          <t>graphein.ai + certificats SSL Wildcard</t>
        </is>
      </c>
      <c r="C16" s="5" t="inlineStr">
        <is>
          <t>1</t>
        </is>
      </c>
      <c r="D16" s="20" t="n">
        <v>6560</v>
      </c>
      <c r="E16" s="21" t="n">
        <v>6560</v>
      </c>
    </row>
    <row r="17">
      <c r="A17" s="3" t="inlineStr">
        <is>
          <t>Cluster GPU Dédié (Optionnel)</t>
        </is>
      </c>
      <c r="B17" s="3" t="inlineStr">
        <is>
          <t>Cartes accélératrices L4 / A10G pour inférence locale</t>
        </is>
      </c>
      <c r="C17" s="3" t="inlineStr">
        <is>
          <t>1</t>
        </is>
      </c>
      <c r="D17" s="18" t="n">
        <v>209906</v>
      </c>
      <c r="E17" s="19" t="n">
        <v>209906</v>
      </c>
    </row>
    <row r="18">
      <c r="A18" s="7" t="inlineStr">
        <is>
          <t>TOTAL MENSUEL EN FCFA</t>
        </is>
      </c>
      <c r="B18" s="24" t="n"/>
      <c r="C18" s="24" t="n"/>
      <c r="D18" s="24" t="n"/>
      <c r="E18" s="8">
        <f>SUM(E5:E17)</f>
        <v/>
      </c>
    </row>
  </sheetData>
  <mergeCells count="2">
    <mergeCell ref="A18:D18"/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21" customWidth="1" min="3" max="3"/>
    <col width="24" customWidth="1" min="4" max="4"/>
    <col width="24" customWidth="1" min="5" max="5"/>
  </cols>
  <sheetData>
    <row r="1">
      <c r="A1" s="16" t="inlineStr">
        <is>
          <t>DÉCOMPOSITION EN FCFA : 100,000 UTILISATEURS ACTIFS (5,000,000 REQUÊTES/MOIS)</t>
        </is>
      </c>
    </row>
    <row r="2"/>
    <row r="3"/>
    <row r="4">
      <c r="A4" s="17" t="inlineStr">
        <is>
          <t>Ressource / Composant</t>
        </is>
      </c>
      <c r="B4" s="17" t="inlineStr">
        <is>
          <t>Spécifications &amp; Dimensionnement</t>
        </is>
      </c>
      <c r="C4" s="17" t="inlineStr">
        <is>
          <t>Quantité</t>
        </is>
      </c>
      <c r="D4" s="17" t="inlineStr">
        <is>
          <t>Coût Unitaire (FCFA)</t>
        </is>
      </c>
      <c r="E4" s="17" t="inlineStr">
        <is>
          <t>Total Mensuel (FCFA)</t>
        </is>
      </c>
    </row>
    <row r="5">
      <c r="A5" s="3" t="inlineStr">
        <is>
          <t>Serveurs Applicatifs FastAPI</t>
        </is>
      </c>
      <c r="B5" s="3" t="inlineStr">
        <is>
          <t>Instances Cloud 4 vCPU / 8 Go RAM (x50)</t>
        </is>
      </c>
      <c r="C5" s="3" t="inlineStr">
        <is>
          <t>50</t>
        </is>
      </c>
      <c r="D5" s="18" t="n">
        <v>62972</v>
      </c>
      <c r="E5" s="19" t="n">
        <v>3148594</v>
      </c>
    </row>
    <row r="6">
      <c r="A6" s="5" t="inlineStr">
        <is>
          <t>Base PostgreSQL Supabase HA</t>
        </is>
      </c>
      <c r="B6" s="5" t="inlineStr">
        <is>
          <t>Compute dédié + IOPS managés + Réplication</t>
        </is>
      </c>
      <c r="C6" s="5" t="inlineStr">
        <is>
          <t>1</t>
        </is>
      </c>
      <c r="D6" s="20" t="n">
        <v>1246318</v>
      </c>
      <c r="E6" s="21" t="n">
        <v>1246318</v>
      </c>
    </row>
    <row r="7">
      <c r="A7" s="3" t="inlineStr">
        <is>
          <t>Cloudflare R2 Object Storage</t>
        </is>
      </c>
      <c r="B7" s="3" t="inlineStr">
        <is>
          <t>Stockage images graphiques &amp; caches PDF (20000.0 Go)</t>
        </is>
      </c>
      <c r="C7" s="3" t="inlineStr">
        <is>
          <t>20000 Go</t>
        </is>
      </c>
      <c r="D7" s="18" t="n">
        <v>10</v>
      </c>
      <c r="E7" s="19" t="n">
        <v>623159</v>
      </c>
    </row>
    <row r="8">
      <c r="A8" s="5" t="inlineStr">
        <is>
          <t>Cloudflare WAF / Enterprise CDN</t>
        </is>
      </c>
      <c r="B8" s="5" t="inlineStr">
        <is>
          <t>Protection anti-DDoS, Edge caching, SSL</t>
        </is>
      </c>
      <c r="C8" s="5" t="inlineStr">
        <is>
          <t>1</t>
        </is>
      </c>
      <c r="D8" s="20" t="n">
        <v>983936</v>
      </c>
      <c r="E8" s="21" t="n">
        <v>983936</v>
      </c>
    </row>
    <row r="9">
      <c r="A9" s="3" t="inlineStr">
        <is>
          <t>Redis Enterprise Cluster</t>
        </is>
      </c>
      <c r="B9" s="3" t="inlineStr">
        <is>
          <t>Queue Celery Broker + Cache extraction SHA-256</t>
        </is>
      </c>
      <c r="C9" s="3" t="inlineStr">
        <is>
          <t>1</t>
        </is>
      </c>
      <c r="D9" s="18" t="n">
        <v>557563</v>
      </c>
      <c r="E9" s="19" t="n">
        <v>557563</v>
      </c>
    </row>
    <row r="10">
      <c r="A10" s="5" t="inlineStr">
        <is>
          <t>Google Gemini 2.5 Flash API</t>
        </is>
      </c>
      <c r="B10" s="5" t="inlineStr">
        <is>
          <t>Tokens VLM (5,000,000 requêtes x 1000 tokens)</t>
        </is>
      </c>
      <c r="C10" s="5" t="inlineStr">
        <is>
          <t>5,000,000,000 Tok</t>
        </is>
      </c>
      <c r="D10" s="22" t="n">
        <v>0.00246</v>
      </c>
      <c r="E10" s="21" t="n">
        <v>12299194</v>
      </c>
    </row>
    <row r="11">
      <c r="A11" s="3" t="inlineStr">
        <is>
          <t>FAISS Vector Index Storage</t>
        </is>
      </c>
      <c r="B11" s="3" t="inlineStr">
        <is>
          <t>Mémoire vive &amp; SSD NVMe pour embeddings</t>
        </is>
      </c>
      <c r="C11" s="3" t="inlineStr">
        <is>
          <t>1</t>
        </is>
      </c>
      <c r="D11" s="18" t="n">
        <v>295181</v>
      </c>
      <c r="E11" s="19" t="n">
        <v>295181</v>
      </c>
    </row>
    <row r="12">
      <c r="A12" s="5" t="inlineStr">
        <is>
          <t>Emails Resend Transactionnels</t>
        </is>
      </c>
      <c r="B12" s="5" t="inlineStr">
        <is>
          <t>Emails d'invitations &amp; auth (200,000 envois)</t>
        </is>
      </c>
      <c r="C12" s="5" t="inlineStr">
        <is>
          <t>200,000 Mails</t>
        </is>
      </c>
      <c r="D12" s="20" t="n">
        <v>2.95</v>
      </c>
      <c r="E12" s="21" t="n">
        <v>590361</v>
      </c>
    </row>
    <row r="13">
      <c r="A13" s="3" t="inlineStr">
        <is>
          <t>Sentry &amp; Datadog Monitoring</t>
        </is>
      </c>
      <c r="B13" s="3" t="inlineStr">
        <is>
          <t>Télémétrie SRE, logs temps réel &amp; APM</t>
        </is>
      </c>
      <c r="C13" s="3" t="inlineStr">
        <is>
          <t>1</t>
        </is>
      </c>
      <c r="D13" s="18" t="n">
        <v>787148</v>
      </c>
      <c r="E13" s="19" t="n">
        <v>787148</v>
      </c>
    </row>
    <row r="14">
      <c r="A14" s="5" t="inlineStr">
        <is>
          <t>Sauvegardes Froid &amp; Vault</t>
        </is>
      </c>
      <c r="B14" s="5" t="inlineStr">
        <is>
          <t>Snapshots quotidiens multi-régions (90 jours)</t>
        </is>
      </c>
      <c r="C14" s="5" t="inlineStr">
        <is>
          <t>1</t>
        </is>
      </c>
      <c r="D14" s="20" t="n">
        <v>262383</v>
      </c>
      <c r="E14" s="21" t="n">
        <v>262383</v>
      </c>
    </row>
    <row r="15">
      <c r="A15" s="3" t="inlineStr">
        <is>
          <t>CI/CD &amp; Registre Docker</t>
        </is>
      </c>
      <c r="B15" s="3" t="inlineStr">
        <is>
          <t>Runners automatisés &amp; pipelines GitHub</t>
        </is>
      </c>
      <c r="C15" s="3" t="inlineStr">
        <is>
          <t>1</t>
        </is>
      </c>
      <c r="D15" s="18" t="n">
        <v>163989</v>
      </c>
      <c r="E15" s="19" t="n">
        <v>163989</v>
      </c>
    </row>
    <row r="16">
      <c r="A16" s="5" t="inlineStr">
        <is>
          <t>Domaine &amp; DNS Anycast</t>
        </is>
      </c>
      <c r="B16" s="5" t="inlineStr">
        <is>
          <t>graphein.ai + certificats SSL Wildcard</t>
        </is>
      </c>
      <c r="C16" s="5" t="inlineStr">
        <is>
          <t>1</t>
        </is>
      </c>
      <c r="D16" s="20" t="n">
        <v>16399</v>
      </c>
      <c r="E16" s="21" t="n">
        <v>16399</v>
      </c>
    </row>
    <row r="17">
      <c r="A17" s="3" t="inlineStr">
        <is>
          <t>Cluster GPU Dédié (Optionnel)</t>
        </is>
      </c>
      <c r="B17" s="3" t="inlineStr">
        <is>
          <t>Cartes accélératrices L4 / A10G pour inférence locale</t>
        </is>
      </c>
      <c r="C17" s="3" t="inlineStr">
        <is>
          <t>1</t>
        </is>
      </c>
      <c r="D17" s="18" t="n">
        <v>839625</v>
      </c>
      <c r="E17" s="19" t="n">
        <v>839625</v>
      </c>
    </row>
    <row r="18">
      <c r="A18" s="7" t="inlineStr">
        <is>
          <t>TOTAL MENSUEL EN FCFA</t>
        </is>
      </c>
      <c r="B18" s="24" t="n"/>
      <c r="C18" s="24" t="n"/>
      <c r="D18" s="24" t="n"/>
      <c r="E18" s="8">
        <f>SUM(E5:E17)</f>
        <v/>
      </c>
    </row>
  </sheetData>
  <mergeCells count="2">
    <mergeCell ref="A18:D18"/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2026-08-31T20:19:17Z</dcterms:created>
  <dcterms:modified xmlns:dcterms="http://purl.org/dc/terms/" xmlns:xsi="http://www.w3.org/2001/XMLSchema-instance" xsi:type="dcterms:W3CDTF">2026-08-31T20:19:17Z</dcterms:modified>
</cp:coreProperties>
</file>